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11640"/>
  </bookViews>
  <sheets>
    <sheet name="Cost" sheetId="1" r:id="rId1"/>
    <sheet name="Hours" sheetId="2" r:id="rId2"/>
    <sheet name="Totals" sheetId="3" r:id="rId3"/>
  </sheets>
  <calcPr calcId="114210"/>
</workbook>
</file>

<file path=xl/calcChain.xml><?xml version="1.0" encoding="utf-8"?>
<calcChain xmlns="http://schemas.openxmlformats.org/spreadsheetml/2006/main">
  <c r="E11" i="2"/>
  <c r="F11"/>
  <c r="C10"/>
  <c r="A10"/>
  <c r="E10"/>
  <c r="F10"/>
  <c r="E3"/>
  <c r="E4"/>
  <c r="E5"/>
  <c r="E6"/>
  <c r="E7"/>
  <c r="E8"/>
  <c r="E9"/>
  <c r="E2"/>
  <c r="F9"/>
  <c r="F8"/>
  <c r="F2"/>
  <c r="F4"/>
  <c r="F3"/>
  <c r="F5"/>
  <c r="B6" i="3"/>
  <c r="B5"/>
  <c r="B2"/>
  <c r="B1"/>
  <c r="F6" i="2"/>
  <c r="F7"/>
  <c r="M7" i="1"/>
  <c r="M6"/>
  <c r="M4"/>
  <c r="M3"/>
  <c r="M2"/>
  <c r="J9"/>
  <c r="J8"/>
  <c r="J7"/>
  <c r="J6"/>
  <c r="J5"/>
  <c r="J4"/>
  <c r="J3"/>
  <c r="J2"/>
  <c r="I9"/>
  <c r="I8"/>
  <c r="I7"/>
  <c r="I6"/>
  <c r="I5"/>
  <c r="I4"/>
  <c r="I3"/>
  <c r="I2"/>
  <c r="B9" i="3"/>
  <c r="B8"/>
  <c r="B3"/>
</calcChain>
</file>

<file path=xl/sharedStrings.xml><?xml version="1.0" encoding="utf-8"?>
<sst xmlns="http://schemas.openxmlformats.org/spreadsheetml/2006/main" count="57" uniqueCount="43">
  <si>
    <t>Embedded Programming with the Microsoft .NET Micro Framework (Paperback)</t>
  </si>
  <si>
    <t>Item</t>
  </si>
  <si>
    <t>Cost</t>
  </si>
  <si>
    <t>Tax</t>
  </si>
  <si>
    <t>Total</t>
  </si>
  <si>
    <t>From</t>
  </si>
  <si>
    <t>B&amp;N</t>
  </si>
  <si>
    <t>Amazon.Com</t>
  </si>
  <si>
    <t>9480WK Bredboard-Prototype Design Aid</t>
  </si>
  <si>
    <t>Shipping</t>
  </si>
  <si>
    <t>SE1 Solder Ease Kit</t>
  </si>
  <si>
    <t>Order Number</t>
  </si>
  <si>
    <t xml:space="preserve">103-1419790-5257021 </t>
  </si>
  <si>
    <t>STR:2925 REG:003 TRN: 1529 CSHR: Ty L</t>
  </si>
  <si>
    <t>UPNP/Sockets/Multicast/HTTP</t>
  </si>
  <si>
    <t>Start</t>
  </si>
  <si>
    <t>End</t>
  </si>
  <si>
    <t>Note</t>
  </si>
  <si>
    <t>SparkFun.Com</t>
  </si>
  <si>
    <t>PRT-08032 Audio Jack 3.5mm</t>
  </si>
  <si>
    <t>BOB-08819 Breakout Board for VS1011E-L MP3</t>
  </si>
  <si>
    <t>PRT-00116 Break Away Headers - Straight</t>
  </si>
  <si>
    <t>PRT-08827 Audio Jack Breakout</t>
  </si>
  <si>
    <t>Qty</t>
  </si>
  <si>
    <t>USPS</t>
  </si>
  <si>
    <t>TRN: 54 USPS: 381758-9559</t>
  </si>
  <si>
    <t>Postage for "Affidavit_of_Eligibility" (First Class + Certified Mail)</t>
  </si>
  <si>
    <t>Single Use</t>
  </si>
  <si>
    <t>Single Use Total</t>
  </si>
  <si>
    <t>Total Expense</t>
  </si>
  <si>
    <t>Non reusable Expense</t>
  </si>
  <si>
    <t>Resusable Expense</t>
  </si>
  <si>
    <t>Shipping Costs</t>
  </si>
  <si>
    <t>Taxes</t>
  </si>
  <si>
    <t>And TV</t>
  </si>
  <si>
    <t>Total Hours</t>
  </si>
  <si>
    <t>Focused Hours</t>
  </si>
  <si>
    <t>RSS/XML/MP3 Chip Selection/Update Reports</t>
  </si>
  <si>
    <t>Read about .Net Micro Framework</t>
  </si>
  <si>
    <t>Project Setup/Design Review</t>
  </si>
  <si>
    <t>Weather/Traffic/Image/JPEG/HTTP</t>
  </si>
  <si>
    <t>MPEG/SPI/Prototype</t>
  </si>
  <si>
    <t>Readied IDC cables/Setup a carry kit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</si>
</sst>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&quot;$&quot;#,##0.00"/>
    <numFmt numFmtId="165" formatCode="m/d/yy\ h:mm;@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165" fontId="0" fillId="0" borderId="0" xfId="0" applyNumberFormat="1"/>
    <xf numFmtId="0" fontId="2" fillId="0" borderId="0" xfId="1" applyNumberFormat="1" applyFont="1"/>
    <xf numFmtId="0" fontId="0" fillId="0" borderId="0" xfId="1" applyNumberFormat="1" applyFont="1"/>
    <xf numFmtId="164" fontId="2" fillId="0" borderId="0" xfId="0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selection activeCell="B19" sqref="B19"/>
    </sheetView>
  </sheetViews>
  <sheetFormatPr defaultRowHeight="15"/>
  <cols>
    <col min="1" max="1" width="13.85546875" bestFit="1" customWidth="1"/>
    <col min="2" max="2" width="35.28515625" bestFit="1" customWidth="1"/>
    <col min="3" max="3" width="73" bestFit="1" customWidth="1"/>
    <col min="4" max="4" width="10.7109375" bestFit="1" customWidth="1"/>
    <col min="5" max="5" width="6.5703125" style="1" bestFit="1" customWidth="1"/>
    <col min="6" max="6" width="4.7109375" style="6" bestFit="1" customWidth="1"/>
    <col min="7" max="7" width="9.42578125" style="1" bestFit="1" customWidth="1"/>
    <col min="8" max="8" width="5.5703125" style="1" bestFit="1" customWidth="1"/>
    <col min="9" max="9" width="6.5703125" style="1" bestFit="1" customWidth="1"/>
    <col min="10" max="10" width="15.85546875" style="1" bestFit="1" customWidth="1"/>
    <col min="11" max="11" width="2.7109375" style="1" bestFit="1" customWidth="1"/>
    <col min="12" max="12" width="21" style="3" bestFit="1" customWidth="1"/>
  </cols>
  <sheetData>
    <row r="1" spans="1:13" s="2" customFormat="1">
      <c r="A1" s="2" t="s">
        <v>5</v>
      </c>
      <c r="B1" s="2" t="s">
        <v>11</v>
      </c>
      <c r="C1" s="2" t="s">
        <v>1</v>
      </c>
      <c r="D1" s="2" t="s">
        <v>27</v>
      </c>
      <c r="E1" s="3" t="s">
        <v>2</v>
      </c>
      <c r="F1" s="5" t="s">
        <v>23</v>
      </c>
      <c r="G1" s="3" t="s">
        <v>9</v>
      </c>
      <c r="H1" s="3" t="s">
        <v>3</v>
      </c>
      <c r="I1" s="3" t="s">
        <v>4</v>
      </c>
      <c r="J1" s="3" t="s">
        <v>28</v>
      </c>
      <c r="K1" s="3"/>
      <c r="L1" s="3"/>
      <c r="M1" s="7"/>
    </row>
    <row r="2" spans="1:13">
      <c r="A2" t="s">
        <v>6</v>
      </c>
      <c r="B2" t="s">
        <v>13</v>
      </c>
      <c r="C2" t="s">
        <v>0</v>
      </c>
      <c r="E2" s="1">
        <v>40.49</v>
      </c>
      <c r="F2" s="6">
        <v>1</v>
      </c>
      <c r="H2" s="1">
        <v>2.73</v>
      </c>
      <c r="I2" s="1">
        <f>E2*F2+G2+H2</f>
        <v>43.22</v>
      </c>
      <c r="J2" s="1">
        <f>IF(D2,I2,0)</f>
        <v>0</v>
      </c>
      <c r="L2" s="3" t="s">
        <v>29</v>
      </c>
      <c r="M2" s="8">
        <f>SUM(I:I)</f>
        <v>130.04000000000002</v>
      </c>
    </row>
    <row r="3" spans="1:13">
      <c r="A3" t="s">
        <v>7</v>
      </c>
      <c r="B3" t="s">
        <v>12</v>
      </c>
      <c r="C3" t="s">
        <v>8</v>
      </c>
      <c r="E3" s="1">
        <v>34.950000000000003</v>
      </c>
      <c r="F3" s="6">
        <v>1</v>
      </c>
      <c r="G3" s="1">
        <v>9</v>
      </c>
      <c r="I3" s="1">
        <f t="shared" ref="I3:I9" si="0">E3*F3+G3+H3</f>
        <v>43.95</v>
      </c>
      <c r="J3" s="1">
        <f t="shared" ref="J3:J9" si="1">IF(D3,I3,0)</f>
        <v>0</v>
      </c>
      <c r="L3" s="3" t="s">
        <v>30</v>
      </c>
      <c r="M3" s="8">
        <f>SUM(J:J)</f>
        <v>3.12</v>
      </c>
    </row>
    <row r="4" spans="1:13">
      <c r="A4" t="s">
        <v>7</v>
      </c>
      <c r="B4" t="s">
        <v>12</v>
      </c>
      <c r="C4" t="s">
        <v>10</v>
      </c>
      <c r="E4" s="1">
        <v>2.95</v>
      </c>
      <c r="F4" s="6">
        <v>1</v>
      </c>
      <c r="I4" s="1">
        <f t="shared" si="0"/>
        <v>2.95</v>
      </c>
      <c r="J4" s="1">
        <f t="shared" si="1"/>
        <v>0</v>
      </c>
      <c r="L4" s="3" t="s">
        <v>31</v>
      </c>
      <c r="M4" s="8">
        <f>M2-M3</f>
        <v>126.92000000000002</v>
      </c>
    </row>
    <row r="5" spans="1:13">
      <c r="A5" t="s">
        <v>18</v>
      </c>
      <c r="B5">
        <v>94583</v>
      </c>
      <c r="C5" t="s">
        <v>19</v>
      </c>
      <c r="E5" s="1">
        <v>1.5</v>
      </c>
      <c r="F5" s="6">
        <v>1</v>
      </c>
      <c r="G5" s="1">
        <v>11.9</v>
      </c>
      <c r="I5" s="1">
        <f t="shared" si="0"/>
        <v>13.4</v>
      </c>
      <c r="J5" s="1">
        <f t="shared" si="1"/>
        <v>0</v>
      </c>
    </row>
    <row r="6" spans="1:13">
      <c r="A6" t="s">
        <v>18</v>
      </c>
      <c r="B6">
        <v>94583</v>
      </c>
      <c r="C6" t="s">
        <v>20</v>
      </c>
      <c r="E6" s="1">
        <v>19.95</v>
      </c>
      <c r="F6" s="6">
        <v>1</v>
      </c>
      <c r="I6" s="1">
        <f t="shared" si="0"/>
        <v>19.95</v>
      </c>
      <c r="J6" s="1">
        <f t="shared" si="1"/>
        <v>0</v>
      </c>
      <c r="L6" s="3" t="s">
        <v>32</v>
      </c>
      <c r="M6" s="8">
        <f>SUM(G:G)</f>
        <v>24.02</v>
      </c>
    </row>
    <row r="7" spans="1:13">
      <c r="A7" t="s">
        <v>18</v>
      </c>
      <c r="B7">
        <v>94583</v>
      </c>
      <c r="C7" t="s">
        <v>21</v>
      </c>
      <c r="E7" s="1">
        <v>2.5</v>
      </c>
      <c r="F7" s="6">
        <v>1</v>
      </c>
      <c r="I7" s="1">
        <f t="shared" si="0"/>
        <v>2.5</v>
      </c>
      <c r="J7" s="1">
        <f t="shared" si="1"/>
        <v>0</v>
      </c>
      <c r="L7" s="3" t="s">
        <v>33</v>
      </c>
      <c r="M7" s="8">
        <f>SUM(H:H)</f>
        <v>2.73</v>
      </c>
    </row>
    <row r="8" spans="1:13">
      <c r="A8" t="s">
        <v>18</v>
      </c>
      <c r="B8">
        <v>94583</v>
      </c>
      <c r="C8" t="s">
        <v>22</v>
      </c>
      <c r="E8" s="1">
        <v>0.95</v>
      </c>
      <c r="F8" s="6">
        <v>1</v>
      </c>
      <c r="I8" s="1">
        <f t="shared" si="0"/>
        <v>0.95</v>
      </c>
      <c r="J8" s="1">
        <f t="shared" si="1"/>
        <v>0</v>
      </c>
    </row>
    <row r="9" spans="1:13">
      <c r="A9" t="s">
        <v>24</v>
      </c>
      <c r="B9" t="s">
        <v>25</v>
      </c>
      <c r="C9" t="s">
        <v>26</v>
      </c>
      <c r="D9" t="b">
        <v>1</v>
      </c>
      <c r="G9" s="1">
        <v>3.12</v>
      </c>
      <c r="I9" s="1">
        <f t="shared" si="0"/>
        <v>3.12</v>
      </c>
      <c r="J9" s="1">
        <f t="shared" si="1"/>
        <v>3.12</v>
      </c>
    </row>
  </sheetData>
  <sheetCalcPr fullCalcOnLoad="1"/>
  <phoneticPr fontId="0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topLeftCell="A2" workbookViewId="0">
      <selection activeCell="A30" sqref="A30"/>
    </sheetView>
  </sheetViews>
  <sheetFormatPr defaultRowHeight="15"/>
  <cols>
    <col min="1" max="2" width="12.7109375" style="4" bestFit="1" customWidth="1"/>
    <col min="3" max="3" width="42.28515625" bestFit="1" customWidth="1"/>
    <col min="4" max="4" width="7.28515625" bestFit="1" customWidth="1"/>
    <col min="5" max="5" width="11" bestFit="1" customWidth="1"/>
    <col min="6" max="6" width="14" bestFit="1" customWidth="1"/>
  </cols>
  <sheetData>
    <row r="1" spans="1:6">
      <c r="A1" s="4" t="s">
        <v>15</v>
      </c>
      <c r="B1" s="4" t="s">
        <v>16</v>
      </c>
      <c r="C1" t="s">
        <v>17</v>
      </c>
      <c r="D1" t="s">
        <v>34</v>
      </c>
      <c r="E1" t="s">
        <v>35</v>
      </c>
      <c r="F1" t="s">
        <v>36</v>
      </c>
    </row>
    <row r="2" spans="1:6">
      <c r="A2" s="4">
        <v>39827.791666666664</v>
      </c>
      <c r="B2" s="4">
        <v>39827.875</v>
      </c>
      <c r="C2" t="s">
        <v>38</v>
      </c>
      <c r="D2" t="b">
        <v>1</v>
      </c>
      <c r="E2">
        <f>ROUND((B2-A2)*24,2)</f>
        <v>2</v>
      </c>
      <c r="F2">
        <f t="shared" ref="F2:F8" si="0">IF(D2,E2*0.75,E2)</f>
        <v>1.5</v>
      </c>
    </row>
    <row r="3" spans="1:6">
      <c r="A3" s="4">
        <v>39828.833333333336</v>
      </c>
      <c r="B3" s="4">
        <v>39828.875</v>
      </c>
      <c r="C3" t="s">
        <v>38</v>
      </c>
      <c r="D3" t="b">
        <v>1</v>
      </c>
      <c r="E3">
        <f t="shared" ref="E3:E9" si="1">ROUND((B3-A3)*24,2)</f>
        <v>1</v>
      </c>
      <c r="F3">
        <f t="shared" si="0"/>
        <v>0.75</v>
      </c>
    </row>
    <row r="4" spans="1:6">
      <c r="A4" s="4">
        <v>39829.833333333336</v>
      </c>
      <c r="B4" s="4">
        <v>39829.875</v>
      </c>
      <c r="C4" t="s">
        <v>38</v>
      </c>
      <c r="E4">
        <f t="shared" si="1"/>
        <v>1</v>
      </c>
      <c r="F4">
        <f t="shared" si="0"/>
        <v>1</v>
      </c>
    </row>
    <row r="5" spans="1:6">
      <c r="A5" s="4">
        <v>39830.375</v>
      </c>
      <c r="B5" s="4">
        <v>39830.583333333336</v>
      </c>
      <c r="C5" t="s">
        <v>39</v>
      </c>
      <c r="D5" t="b">
        <v>1</v>
      </c>
      <c r="E5">
        <f t="shared" si="1"/>
        <v>5</v>
      </c>
      <c r="F5">
        <f t="shared" si="0"/>
        <v>3.75</v>
      </c>
    </row>
    <row r="6" spans="1:6">
      <c r="A6" s="4">
        <v>39831.333333333336</v>
      </c>
      <c r="B6" s="4">
        <v>39831.916666666664</v>
      </c>
      <c r="C6" t="s">
        <v>14</v>
      </c>
      <c r="D6" t="b">
        <v>1</v>
      </c>
      <c r="E6">
        <f t="shared" si="1"/>
        <v>14</v>
      </c>
      <c r="F6">
        <f t="shared" si="0"/>
        <v>10.5</v>
      </c>
    </row>
    <row r="7" spans="1:6">
      <c r="A7" s="4">
        <v>39832.375</v>
      </c>
      <c r="B7" s="4">
        <v>39832.604166666664</v>
      </c>
      <c r="C7" t="s">
        <v>37</v>
      </c>
      <c r="E7">
        <f t="shared" si="1"/>
        <v>5.5</v>
      </c>
      <c r="F7">
        <f t="shared" si="0"/>
        <v>5.5</v>
      </c>
    </row>
    <row r="8" spans="1:6">
      <c r="A8" s="4">
        <v>39834.8125</v>
      </c>
      <c r="B8" s="4">
        <v>39835.020833333336</v>
      </c>
      <c r="C8" t="s">
        <v>40</v>
      </c>
      <c r="D8" t="b">
        <v>1</v>
      </c>
      <c r="E8">
        <f t="shared" si="1"/>
        <v>5</v>
      </c>
      <c r="F8">
        <f t="shared" si="0"/>
        <v>3.75</v>
      </c>
    </row>
    <row r="9" spans="1:6">
      <c r="A9" s="4">
        <v>39836.833333333336</v>
      </c>
      <c r="B9" s="4">
        <v>39837.125</v>
      </c>
      <c r="C9" t="s">
        <v>41</v>
      </c>
      <c r="D9" t="b">
        <v>1</v>
      </c>
      <c r="E9">
        <f t="shared" si="1"/>
        <v>7</v>
      </c>
      <c r="F9">
        <f>IF(D9,E9*0.75,E9)</f>
        <v>5.25</v>
      </c>
    </row>
    <row r="10" spans="1:6">
      <c r="A10" s="4">
        <f>B9</f>
        <v>39837.125</v>
      </c>
      <c r="B10" s="4">
        <v>39837.25</v>
      </c>
      <c r="C10" t="str">
        <f>C9</f>
        <v>MPEG/SPI/Prototype</v>
      </c>
      <c r="E10">
        <f>ROUND((B10-A10)*24,2)</f>
        <v>3</v>
      </c>
      <c r="F10">
        <f>IF(D10,E10*0.75,E10)</f>
        <v>3</v>
      </c>
    </row>
    <row r="11" spans="1:6">
      <c r="A11" s="4">
        <v>39837.479166666664</v>
      </c>
      <c r="B11" s="4">
        <v>39837.5625</v>
      </c>
      <c r="C11" t="s">
        <v>42</v>
      </c>
      <c r="E11">
        <f>ROUND((B11-A11)*24,2)</f>
        <v>2</v>
      </c>
      <c r="F11">
        <f>IF(D11,E11*0.75,E11)</f>
        <v>2</v>
      </c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16" sqref="A16"/>
    </sheetView>
  </sheetViews>
  <sheetFormatPr defaultRowHeight="15"/>
  <cols>
    <col min="1" max="1" width="21.140625" bestFit="1" customWidth="1"/>
    <col min="2" max="2" width="7.5703125" bestFit="1" customWidth="1"/>
  </cols>
  <sheetData>
    <row r="1" spans="1:2">
      <c r="A1" s="3" t="s">
        <v>29</v>
      </c>
      <c r="B1" s="8">
        <f ca="1">SUM(Cost!I:I)</f>
        <v>130.04000000000002</v>
      </c>
    </row>
    <row r="2" spans="1:2">
      <c r="A2" s="3" t="s">
        <v>30</v>
      </c>
      <c r="B2" s="8">
        <f ca="1">SUM(Cost!J:J)</f>
        <v>3.12</v>
      </c>
    </row>
    <row r="3" spans="1:2">
      <c r="A3" s="3" t="s">
        <v>31</v>
      </c>
      <c r="B3" s="8">
        <f ca="1">B1-B2</f>
        <v>126.92000000000002</v>
      </c>
    </row>
    <row r="4" spans="1:2">
      <c r="A4" s="3"/>
    </row>
    <row r="5" spans="1:2">
      <c r="A5" s="3" t="s">
        <v>32</v>
      </c>
      <c r="B5" s="8">
        <f ca="1">SUM(Cost!G:G)</f>
        <v>24.02</v>
      </c>
    </row>
    <row r="6" spans="1:2">
      <c r="A6" s="3" t="s">
        <v>33</v>
      </c>
      <c r="B6" s="8">
        <f ca="1">SUM(Cost!H:H)</f>
        <v>2.73</v>
      </c>
    </row>
    <row r="8" spans="1:2">
      <c r="A8" s="3" t="s">
        <v>35</v>
      </c>
      <c r="B8">
        <f ca="1">SUM(Hours!E:E)</f>
        <v>45.5</v>
      </c>
    </row>
    <row r="9" spans="1:2">
      <c r="A9" s="3" t="s">
        <v>36</v>
      </c>
      <c r="B9">
        <f ca="1">SUM(Hours!F:F)</f>
        <v>37</v>
      </c>
    </row>
  </sheetData>
  <sheetCalcPr fullCalcOnLoad="1"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Hours</vt:lpstr>
      <vt:lpstr>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2009-01-19T20:47:40Z</dcterms:created>
  <dcterms:modified xsi:type="dcterms:W3CDTF">2009-01-24T18:22:51Z</dcterms:modified>
</cp:coreProperties>
</file>